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 Ryzen\Desktop\dio_excel\"/>
    </mc:Choice>
  </mc:AlternateContent>
  <xr:revisionPtr revIDLastSave="0" documentId="13_ncr:1_{B77B1845-55AD-40A1-8527-7558786EA055}" xr6:coauthVersionLast="47" xr6:coauthVersionMax="47" xr10:uidLastSave="{00000000-0000-0000-0000-000000000000}"/>
  <bookViews>
    <workbookView xWindow="-120" yWindow="-120" windowWidth="24240" windowHeight="13140" xr2:uid="{FB8EF496-1694-4360-A480-5F2A956545DF}"/>
  </bookViews>
  <sheets>
    <sheet name="Sheet1" sheetId="1" r:id="rId1"/>
    <sheet name="Sheet2" sheetId="2" r:id="rId2"/>
  </sheets>
  <definedNames>
    <definedName name="aporte">Sheet1!$D$8</definedName>
    <definedName name="patrimonio">Sheet1!$D$11</definedName>
    <definedName name="qtd_anos">Sheet1!$D$9</definedName>
    <definedName name="rendimento_carteira">Sheet1!$D$4</definedName>
    <definedName name="sugestao_investimento">Sheet1!$D$5</definedName>
    <definedName name="taxa_mensal">Sheet1!$D$10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D30" i="1" s="1"/>
  <c r="C31" i="1"/>
  <c r="D31" i="1" s="1"/>
  <c r="C32" i="1"/>
  <c r="D32" i="1" s="1"/>
  <c r="C27" i="1"/>
  <c r="D27" i="1" s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5" i="2"/>
  <c r="D28" i="1"/>
  <c r="D29" i="1"/>
  <c r="C24" i="1"/>
  <c r="C16" i="1"/>
  <c r="D16" i="1" s="1"/>
  <c r="C17" i="1"/>
  <c r="C18" i="1"/>
  <c r="C19" i="1"/>
  <c r="D19" i="1" s="1"/>
  <c r="C15" i="1"/>
  <c r="D15" i="1" s="1"/>
  <c r="D11" i="1"/>
  <c r="D12" i="1" s="1"/>
  <c r="D17" i="1"/>
  <c r="D18" i="1"/>
  <c r="D5" i="1"/>
  <c r="D33" i="1" l="1"/>
</calcChain>
</file>

<file path=xl/sharedStrings.xml><?xml version="1.0" encoding="utf-8"?>
<sst xmlns="http://schemas.openxmlformats.org/spreadsheetml/2006/main" count="69" uniqueCount="33">
  <si>
    <t>quanto investir por mes</t>
  </si>
  <si>
    <t>por quantos anos</t>
  </si>
  <si>
    <t>taxa de rendimento mensal</t>
  </si>
  <si>
    <t>patrimonio acumulado</t>
  </si>
  <si>
    <t>dividendos mensais</t>
  </si>
  <si>
    <t>investimento mensal</t>
  </si>
  <si>
    <t xml:space="preserve">quanto em 2 anos </t>
  </si>
  <si>
    <t xml:space="preserve">quanto em 5 anos </t>
  </si>
  <si>
    <t xml:space="preserve">quanto em 10 anos </t>
  </si>
  <si>
    <t xml:space="preserve">quanto em 20 anos </t>
  </si>
  <si>
    <t xml:space="preserve">quanto em 30 anos </t>
  </si>
  <si>
    <t>cenarios</t>
  </si>
  <si>
    <t>dividendo</t>
  </si>
  <si>
    <t>configurações</t>
  </si>
  <si>
    <t>rendimento carteira</t>
  </si>
  <si>
    <t>salario</t>
  </si>
  <si>
    <t>sugestão de investimento</t>
  </si>
  <si>
    <t>perfil</t>
  </si>
  <si>
    <t>agressivo</t>
  </si>
  <si>
    <t xml:space="preserve">valor a ser investido por mês 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</si>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</sst>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5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0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Fill="1" applyBorder="1" applyAlignment="1">
      <alignment horizontal="left"/>
    </xf>
    <xf numFmtId="8" fontId="3" fillId="0" borderId="0" xfId="0" applyNumberFormat="1" applyFont="1" applyFill="1" applyBorder="1" applyAlignment="1">
      <alignment horizontal="center"/>
    </xf>
    <xf numFmtId="0" fontId="4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8" fontId="0" fillId="4" borderId="15" xfId="0" applyNumberFormat="1" applyFill="1" applyBorder="1" applyAlignment="1">
      <alignment horizontal="center"/>
    </xf>
    <xf numFmtId="8" fontId="0" fillId="4" borderId="16" xfId="0" applyNumberFormat="1" applyFill="1" applyBorder="1" applyAlignment="1">
      <alignment horizontal="center"/>
    </xf>
    <xf numFmtId="8" fontId="0" fillId="4" borderId="18" xfId="0" applyNumberFormat="1" applyFill="1" applyBorder="1" applyAlignment="1">
      <alignment horizontal="center"/>
    </xf>
    <xf numFmtId="8" fontId="0" fillId="4" borderId="19" xfId="0" applyNumberFormat="1" applyFill="1" applyBorder="1" applyAlignment="1">
      <alignment horizontal="center"/>
    </xf>
    <xf numFmtId="8" fontId="0" fillId="4" borderId="21" xfId="0" applyNumberFormat="1" applyFill="1" applyBorder="1" applyAlignment="1">
      <alignment horizontal="center"/>
    </xf>
    <xf numFmtId="8" fontId="0" fillId="4" borderId="22" xfId="0" applyNumberFormat="1" applyFill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168" fontId="3" fillId="0" borderId="16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0" fontId="3" fillId="0" borderId="19" xfId="0" applyNumberFormat="1" applyFont="1" applyBorder="1" applyAlignment="1">
      <alignment horizontal="center"/>
    </xf>
    <xf numFmtId="8" fontId="3" fillId="4" borderId="19" xfId="0" applyNumberFormat="1" applyFont="1" applyFill="1" applyBorder="1" applyAlignment="1">
      <alignment horizontal="center"/>
    </xf>
    <xf numFmtId="8" fontId="3" fillId="4" borderId="22" xfId="0" applyNumberFormat="1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indent="3"/>
    </xf>
    <xf numFmtId="0" fontId="11" fillId="6" borderId="6" xfId="0" applyFont="1" applyFill="1" applyBorder="1" applyAlignment="1">
      <alignment horizontal="left" indent="3"/>
    </xf>
    <xf numFmtId="0" fontId="11" fillId="6" borderId="8" xfId="0" applyFont="1" applyFill="1" applyBorder="1" applyAlignment="1">
      <alignment horizontal="left" indent="3"/>
    </xf>
    <xf numFmtId="0" fontId="11" fillId="6" borderId="9" xfId="0" applyFont="1" applyFill="1" applyBorder="1" applyAlignment="1">
      <alignment horizontal="left" indent="3"/>
    </xf>
    <xf numFmtId="0" fontId="11" fillId="6" borderId="11" xfId="0" applyFont="1" applyFill="1" applyBorder="1" applyAlignment="1">
      <alignment horizontal="left" indent="3"/>
    </xf>
    <xf numFmtId="0" fontId="11" fillId="6" borderId="12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11" fillId="4" borderId="14" xfId="0" applyFont="1" applyFill="1" applyBorder="1" applyAlignment="1">
      <alignment horizontal="left" indent="3"/>
    </xf>
    <xf numFmtId="0" fontId="11" fillId="4" borderId="17" xfId="0" applyFont="1" applyFill="1" applyBorder="1" applyAlignment="1">
      <alignment horizontal="left" indent="3"/>
    </xf>
    <xf numFmtId="0" fontId="11" fillId="4" borderId="20" xfId="0" applyFont="1" applyFill="1" applyBorder="1" applyAlignment="1">
      <alignment horizontal="left" indent="3"/>
    </xf>
    <xf numFmtId="168" fontId="0" fillId="6" borderId="13" xfId="1" applyNumberFormat="1" applyFont="1" applyFill="1" applyBorder="1" applyAlignment="1">
      <alignment horizontal="center"/>
    </xf>
    <xf numFmtId="0" fontId="11" fillId="6" borderId="14" xfId="0" applyFont="1" applyFill="1" applyBorder="1" applyAlignment="1">
      <alignment horizontal="left" indent="3"/>
    </xf>
    <xf numFmtId="0" fontId="11" fillId="6" borderId="15" xfId="0" applyFont="1" applyFill="1" applyBorder="1" applyAlignment="1">
      <alignment horizontal="left" indent="3"/>
    </xf>
    <xf numFmtId="0" fontId="11" fillId="6" borderId="17" xfId="0" applyFont="1" applyFill="1" applyBorder="1" applyAlignment="1">
      <alignment horizontal="left" indent="3"/>
    </xf>
    <xf numFmtId="0" fontId="11" fillId="6" borderId="18" xfId="0" applyFont="1" applyFill="1" applyBorder="1" applyAlignment="1">
      <alignment horizontal="left" indent="3"/>
    </xf>
    <xf numFmtId="0" fontId="2" fillId="2" borderId="0" xfId="2" applyAlignment="1">
      <alignment horizontal="left"/>
    </xf>
    <xf numFmtId="0" fontId="2" fillId="2" borderId="0" xfId="2"/>
    <xf numFmtId="0" fontId="2" fillId="2" borderId="0" xfId="2" applyAlignment="1">
      <alignment horizontal="center"/>
    </xf>
    <xf numFmtId="168" fontId="7" fillId="0" borderId="0" xfId="0" applyNumberFormat="1" applyFont="1" applyAlignment="1">
      <alignment horizontal="center"/>
    </xf>
    <xf numFmtId="0" fontId="8" fillId="4" borderId="0" xfId="0" applyFont="1" applyFill="1" applyAlignment="1">
      <alignment horizontal="left"/>
    </xf>
    <xf numFmtId="168" fontId="8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7" borderId="0" xfId="0" applyFont="1" applyFill="1" applyAlignment="1">
      <alignment horizontal="left"/>
    </xf>
    <xf numFmtId="0" fontId="7" fillId="7" borderId="0" xfId="0" applyFont="1" applyFill="1"/>
    <xf numFmtId="168" fontId="7" fillId="7" borderId="0" xfId="0" applyNumberFormat="1" applyFont="1" applyFill="1"/>
    <xf numFmtId="0" fontId="0" fillId="0" borderId="3" xfId="0" applyBorder="1"/>
    <xf numFmtId="0" fontId="7" fillId="0" borderId="3" xfId="0" applyFont="1" applyFill="1" applyBorder="1" applyAlignment="1">
      <alignment horizontal="left"/>
    </xf>
    <xf numFmtId="9" fontId="7" fillId="0" borderId="3" xfId="0" applyNumberFormat="1" applyFont="1" applyBorder="1" applyAlignment="1">
      <alignment horizontal="center"/>
    </xf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B464-1A1C-4EF9-9EA1-836F7DB17D45}">
  <dimension ref="A1:F33"/>
  <sheetViews>
    <sheetView showGridLines="0" tabSelected="1" workbookViewId="0">
      <selection activeCell="D36" sqref="D36"/>
    </sheetView>
  </sheetViews>
  <sheetFormatPr defaultColWidth="0" defaultRowHeight="17.25" x14ac:dyDescent="0.3"/>
  <cols>
    <col min="1" max="1" width="9.140625" customWidth="1"/>
    <col min="2" max="2" width="36.7109375" style="3" customWidth="1"/>
    <col min="3" max="3" width="25.7109375" style="5" customWidth="1"/>
    <col min="4" max="5" width="12.7109375" style="6" customWidth="1"/>
    <col min="6" max="6" width="3.7109375" style="6" customWidth="1"/>
    <col min="7" max="7" width="0.85546875" style="6" customWidth="1"/>
    <col min="8" max="8" width="2.140625" style="6" customWidth="1"/>
    <col min="9" max="9" width="9.140625" style="6" customWidth="1"/>
    <col min="10" max="16384" width="9.140625" style="6" hidden="1"/>
  </cols>
  <sheetData>
    <row r="1" spans="1:6" ht="18" thickBot="1" x14ac:dyDescent="0.35"/>
    <row r="2" spans="1:6" customFormat="1" ht="31.5" customHeight="1" x14ac:dyDescent="0.25">
      <c r="B2" s="13" t="s">
        <v>13</v>
      </c>
      <c r="C2" s="28"/>
      <c r="D2" s="14"/>
    </row>
    <row r="3" spans="1:6" customFormat="1" ht="15" customHeight="1" thickBot="1" x14ac:dyDescent="0.3">
      <c r="B3" s="30" t="s">
        <v>15</v>
      </c>
      <c r="C3" s="31"/>
      <c r="D3" s="21">
        <v>5000</v>
      </c>
    </row>
    <row r="4" spans="1:6" customFormat="1" ht="18" customHeight="1" thickBot="1" x14ac:dyDescent="0.3">
      <c r="B4" s="32" t="s">
        <v>14</v>
      </c>
      <c r="C4" s="33"/>
      <c r="D4" s="22">
        <v>8.9999999999999993E-3</v>
      </c>
    </row>
    <row r="5" spans="1:6" customFormat="1" ht="18" customHeight="1" thickBot="1" x14ac:dyDescent="0.3">
      <c r="B5" s="34" t="s">
        <v>16</v>
      </c>
      <c r="C5" s="35"/>
      <c r="D5" s="43">
        <f>D3*30%</f>
        <v>1500</v>
      </c>
    </row>
    <row r="6" spans="1:6" customFormat="1" ht="16.5" customHeight="1" thickBot="1" x14ac:dyDescent="0.45">
      <c r="B6" s="1"/>
      <c r="C6" s="2"/>
    </row>
    <row r="7" spans="1:6" customFormat="1" ht="33.75" customHeight="1" x14ac:dyDescent="0.3">
      <c r="B7" s="10" t="s">
        <v>5</v>
      </c>
      <c r="C7" s="11"/>
      <c r="D7" s="29"/>
      <c r="E7" s="6"/>
      <c r="F7" s="6"/>
    </row>
    <row r="8" spans="1:6" customFormat="1" ht="15" customHeight="1" thickBot="1" x14ac:dyDescent="0.35">
      <c r="B8" s="44" t="s">
        <v>0</v>
      </c>
      <c r="C8" s="45"/>
      <c r="D8" s="23">
        <v>500</v>
      </c>
      <c r="E8" s="6"/>
      <c r="F8" s="6"/>
    </row>
    <row r="9" spans="1:6" customFormat="1" ht="15" customHeight="1" thickBot="1" x14ac:dyDescent="0.35">
      <c r="B9" s="46" t="s">
        <v>1</v>
      </c>
      <c r="C9" s="47"/>
      <c r="D9" s="24">
        <v>5</v>
      </c>
      <c r="E9" s="6"/>
      <c r="F9" s="6"/>
    </row>
    <row r="10" spans="1:6" customFormat="1" ht="15" customHeight="1" thickBot="1" x14ac:dyDescent="0.35">
      <c r="B10" s="46" t="s">
        <v>2</v>
      </c>
      <c r="C10" s="47"/>
      <c r="D10" s="25">
        <v>1.0789999999999999E-2</v>
      </c>
      <c r="E10" s="6"/>
      <c r="F10" s="6"/>
    </row>
    <row r="11" spans="1:6" customFormat="1" ht="15" customHeight="1" thickBot="1" x14ac:dyDescent="0.3">
      <c r="B11" s="36" t="s">
        <v>3</v>
      </c>
      <c r="C11" s="37"/>
      <c r="D11" s="26">
        <f>FV(taxa_mensal,qtd_anos*12,aporte*-1)</f>
        <v>41888.456999243819</v>
      </c>
    </row>
    <row r="12" spans="1:6" customFormat="1" ht="15" customHeight="1" thickBot="1" x14ac:dyDescent="0.3">
      <c r="B12" s="38" t="s">
        <v>4</v>
      </c>
      <c r="C12" s="39"/>
      <c r="D12" s="27">
        <f>patrimonio*rendimento_carteira</f>
        <v>376.99611299319434</v>
      </c>
      <c r="F12" s="2"/>
    </row>
    <row r="13" spans="1:6" customFormat="1" ht="15" customHeight="1" thickBot="1" x14ac:dyDescent="0.35">
      <c r="B13" s="7"/>
      <c r="C13" s="8"/>
      <c r="F13" s="2"/>
    </row>
    <row r="14" spans="1:6" customFormat="1" ht="38.25" customHeight="1" x14ac:dyDescent="0.25">
      <c r="B14" s="10" t="s">
        <v>11</v>
      </c>
      <c r="C14" s="11"/>
      <c r="D14" s="12" t="s">
        <v>12</v>
      </c>
    </row>
    <row r="15" spans="1:6" customFormat="1" ht="16.5" thickBot="1" x14ac:dyDescent="0.3">
      <c r="B15" s="40" t="s">
        <v>6</v>
      </c>
      <c r="C15" s="15">
        <f>FV(taxa_mensal,A16*12,aporte*-1)</f>
        <v>13613.813648822608</v>
      </c>
      <c r="D15" s="16">
        <f>C15*rendimento_carteira</f>
        <v>122.52432283940347</v>
      </c>
    </row>
    <row r="16" spans="1:6" customFormat="1" ht="16.5" thickBot="1" x14ac:dyDescent="0.3">
      <c r="A16" s="9">
        <v>2</v>
      </c>
      <c r="B16" s="41" t="s">
        <v>7</v>
      </c>
      <c r="C16" s="17">
        <f>FV(taxa_mensal,A17*12,aporte*-1)</f>
        <v>41888.456999243819</v>
      </c>
      <c r="D16" s="18">
        <f>C16*rendimento_carteira</f>
        <v>376.99611299319434</v>
      </c>
    </row>
    <row r="17" spans="1:5" customFormat="1" ht="16.5" thickBot="1" x14ac:dyDescent="0.3">
      <c r="A17" s="9">
        <v>5</v>
      </c>
      <c r="B17" s="41" t="s">
        <v>8</v>
      </c>
      <c r="C17" s="17">
        <f>FV(taxa_mensal,A18*12,aporte*-1)</f>
        <v>121642.1062650861</v>
      </c>
      <c r="D17" s="18">
        <f>C17*rendimento_carteira</f>
        <v>1094.7789563857748</v>
      </c>
      <c r="E17" s="4"/>
    </row>
    <row r="18" spans="1:5" ht="18" thickBot="1" x14ac:dyDescent="0.35">
      <c r="A18" s="9">
        <v>10</v>
      </c>
      <c r="B18" s="41" t="s">
        <v>9</v>
      </c>
      <c r="C18" s="17">
        <f>FV(taxa_mensal,A19*12,aporte*-1)</f>
        <v>562599.20004854025</v>
      </c>
      <c r="D18" s="18">
        <f>C18*rendimento_carteira</f>
        <v>5063.3928004368618</v>
      </c>
    </row>
    <row r="19" spans="1:5" ht="18" thickBot="1" x14ac:dyDescent="0.35">
      <c r="A19" s="9">
        <v>20</v>
      </c>
      <c r="B19" s="42" t="s">
        <v>10</v>
      </c>
      <c r="C19" s="19">
        <f>FV(taxa_mensal,A20*12,aporte*-1)</f>
        <v>2161084.8275023573</v>
      </c>
      <c r="D19" s="20">
        <f>C19*rendimento_carteira</f>
        <v>19449.763447521214</v>
      </c>
    </row>
    <row r="20" spans="1:5" x14ac:dyDescent="0.3">
      <c r="A20" s="9">
        <v>30</v>
      </c>
    </row>
    <row r="23" spans="1:5" x14ac:dyDescent="0.3">
      <c r="B23" s="48" t="s">
        <v>17</v>
      </c>
      <c r="C23" s="50" t="s">
        <v>32</v>
      </c>
      <c r="D23" s="49"/>
    </row>
    <row r="24" spans="1:5" x14ac:dyDescent="0.3">
      <c r="B24" s="52" t="s">
        <v>19</v>
      </c>
      <c r="C24" s="53">
        <f>aporte</f>
        <v>500</v>
      </c>
    </row>
    <row r="26" spans="1:5" x14ac:dyDescent="0.3">
      <c r="B26" s="55" t="s">
        <v>20</v>
      </c>
      <c r="C26" s="55" t="s">
        <v>21</v>
      </c>
      <c r="D26" s="56" t="s">
        <v>22</v>
      </c>
    </row>
    <row r="27" spans="1:5" x14ac:dyDescent="0.3">
      <c r="B27" s="3" t="s">
        <v>23</v>
      </c>
      <c r="C27" s="54">
        <f>VLOOKUP($C$23&amp;"-"&amp;B27,Sheet2!$A$4:$D$22,4,FALSE)</f>
        <v>0.32</v>
      </c>
      <c r="D27" s="51">
        <f>C27*$C$24</f>
        <v>160</v>
      </c>
    </row>
    <row r="28" spans="1:5" x14ac:dyDescent="0.3">
      <c r="B28" s="3" t="s">
        <v>24</v>
      </c>
      <c r="C28" s="54">
        <f>VLOOKUP($C$23&amp;"-"&amp;B28,Sheet2!$A$4:$D$22,4,FALSE)</f>
        <v>0.35</v>
      </c>
      <c r="D28" s="51">
        <f t="shared" ref="D28:D32" si="0">C28*$C$24</f>
        <v>175</v>
      </c>
    </row>
    <row r="29" spans="1:5" x14ac:dyDescent="0.3">
      <c r="B29" s="3" t="s">
        <v>25</v>
      </c>
      <c r="C29" s="54">
        <f>VLOOKUP($C$23&amp;"-"&amp;B29,Sheet2!$A$4:$D$22,4,FALSE)</f>
        <v>0.08</v>
      </c>
      <c r="D29" s="51">
        <f t="shared" si="0"/>
        <v>40</v>
      </c>
    </row>
    <row r="30" spans="1:5" x14ac:dyDescent="0.3">
      <c r="B30" s="3" t="s">
        <v>26</v>
      </c>
      <c r="C30" s="54">
        <f>VLOOKUP($C$23&amp;"-"&amp;B30,Sheet2!$A$4:$D$22,4,FALSE)</f>
        <v>0.05</v>
      </c>
      <c r="D30" s="51">
        <f t="shared" si="0"/>
        <v>25</v>
      </c>
    </row>
    <row r="31" spans="1:5" x14ac:dyDescent="0.3">
      <c r="B31" s="3" t="s">
        <v>27</v>
      </c>
      <c r="C31" s="54">
        <f>VLOOKUP($C$23&amp;"-"&amp;B31,Sheet2!$A$4:$D$22,4,FALSE)</f>
        <v>0.1</v>
      </c>
      <c r="D31" s="51">
        <f t="shared" si="0"/>
        <v>50</v>
      </c>
    </row>
    <row r="32" spans="1:5" x14ac:dyDescent="0.3">
      <c r="B32" s="3" t="s">
        <v>28</v>
      </c>
      <c r="C32" s="54">
        <f>VLOOKUP($C$23&amp;"-"&amp;B32,Sheet2!$A$4:$D$22,4,FALSE)</f>
        <v>0.1</v>
      </c>
      <c r="D32" s="51">
        <f t="shared" si="0"/>
        <v>50</v>
      </c>
    </row>
    <row r="33" spans="2:4" x14ac:dyDescent="0.3">
      <c r="B33" s="55"/>
      <c r="C33" s="55"/>
      <c r="D33" s="57">
        <f>SUM(D27:D32)</f>
        <v>500</v>
      </c>
    </row>
  </sheetData>
  <mergeCells count="11">
    <mergeCell ref="B4:C4"/>
    <mergeCell ref="B2:D2"/>
    <mergeCell ref="B14:C14"/>
    <mergeCell ref="B10:C10"/>
    <mergeCell ref="B11:C11"/>
    <mergeCell ref="B12:C12"/>
    <mergeCell ref="B7:D7"/>
    <mergeCell ref="B3:C3"/>
    <mergeCell ref="B5:C5"/>
    <mergeCell ref="B8:C8"/>
    <mergeCell ref="B9:C9"/>
  </mergeCells>
  <dataValidations count="1">
    <dataValidation type="list" allowBlank="1" showInputMessage="1" showErrorMessage="1" sqref="C23" xr:uid="{DE098E11-5BFA-4DD9-8207-76381F813596}">
      <formula1>"conservador,moderado,agressivo"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E825-0D86-4C11-8B6B-374D9879895B}">
  <dimension ref="A4:D22"/>
  <sheetViews>
    <sheetView workbookViewId="0">
      <selection activeCell="H13" sqref="H13"/>
    </sheetView>
  </sheetViews>
  <sheetFormatPr defaultRowHeight="15" x14ac:dyDescent="0.25"/>
  <cols>
    <col min="1" max="1" width="28.140625" bestFit="1" customWidth="1"/>
    <col min="2" max="2" width="12" bestFit="1" customWidth="1"/>
    <col min="3" max="3" width="18.28515625" bestFit="1" customWidth="1"/>
  </cols>
  <sheetData>
    <row r="4" spans="1:4" x14ac:dyDescent="0.25">
      <c r="A4" t="s">
        <v>31</v>
      </c>
      <c r="B4" t="s">
        <v>17</v>
      </c>
      <c r="C4" t="s">
        <v>20</v>
      </c>
      <c r="D4" t="s">
        <v>30</v>
      </c>
    </row>
    <row r="5" spans="1:4" ht="17.25" x14ac:dyDescent="0.3">
      <c r="A5" t="str">
        <f>B5&amp;"-"&amp;C5</f>
        <v>conservador-papel</v>
      </c>
      <c r="B5" t="s">
        <v>29</v>
      </c>
      <c r="C5" s="3" t="s">
        <v>23</v>
      </c>
      <c r="D5" s="54">
        <v>0.3</v>
      </c>
    </row>
    <row r="6" spans="1:4" ht="17.25" x14ac:dyDescent="0.3">
      <c r="A6" t="str">
        <f t="shared" ref="A6:A22" si="0">B6&amp;"-"&amp;C6</f>
        <v>conservador-tijolo</v>
      </c>
      <c r="B6" t="s">
        <v>29</v>
      </c>
      <c r="C6" s="3" t="s">
        <v>24</v>
      </c>
      <c r="D6" s="54">
        <v>0.5</v>
      </c>
    </row>
    <row r="7" spans="1:4" ht="17.25" x14ac:dyDescent="0.3">
      <c r="A7" t="str">
        <f t="shared" si="0"/>
        <v>conservador-hibridos</v>
      </c>
      <c r="B7" t="s">
        <v>29</v>
      </c>
      <c r="C7" s="3" t="s">
        <v>25</v>
      </c>
      <c r="D7" s="54">
        <v>0.1</v>
      </c>
    </row>
    <row r="8" spans="1:4" ht="17.25" x14ac:dyDescent="0.3">
      <c r="A8" t="str">
        <f t="shared" si="0"/>
        <v>conservador-fofs</v>
      </c>
      <c r="B8" t="s">
        <v>29</v>
      </c>
      <c r="C8" s="3" t="s">
        <v>26</v>
      </c>
      <c r="D8" s="54">
        <v>0.1</v>
      </c>
    </row>
    <row r="9" spans="1:4" ht="17.25" x14ac:dyDescent="0.3">
      <c r="A9" t="str">
        <f t="shared" si="0"/>
        <v>conservador-desenvolvimento</v>
      </c>
      <c r="B9" t="s">
        <v>29</v>
      </c>
      <c r="C9" s="3" t="s">
        <v>27</v>
      </c>
      <c r="D9" s="54">
        <v>0</v>
      </c>
    </row>
    <row r="10" spans="1:4" ht="18" thickBot="1" x14ac:dyDescent="0.35">
      <c r="A10" s="58" t="str">
        <f t="shared" si="0"/>
        <v>conservador-hotelarias</v>
      </c>
      <c r="B10" s="58" t="s">
        <v>29</v>
      </c>
      <c r="C10" s="59" t="s">
        <v>28</v>
      </c>
      <c r="D10" s="60">
        <v>0</v>
      </c>
    </row>
    <row r="11" spans="1:4" ht="17.25" x14ac:dyDescent="0.3">
      <c r="A11" t="str">
        <f t="shared" si="0"/>
        <v>moderado-papel</v>
      </c>
      <c r="B11" t="s">
        <v>32</v>
      </c>
      <c r="C11" s="3" t="s">
        <v>23</v>
      </c>
      <c r="D11" s="54">
        <v>0.32</v>
      </c>
    </row>
    <row r="12" spans="1:4" ht="17.25" x14ac:dyDescent="0.3">
      <c r="A12" t="str">
        <f t="shared" si="0"/>
        <v>moderado-tijolo</v>
      </c>
      <c r="B12" t="s">
        <v>32</v>
      </c>
      <c r="C12" s="3" t="s">
        <v>24</v>
      </c>
      <c r="D12" s="54">
        <v>0.35</v>
      </c>
    </row>
    <row r="13" spans="1:4" ht="17.25" x14ac:dyDescent="0.3">
      <c r="A13" t="str">
        <f t="shared" si="0"/>
        <v>moderado-hibridos</v>
      </c>
      <c r="B13" t="s">
        <v>32</v>
      </c>
      <c r="C13" s="3" t="s">
        <v>25</v>
      </c>
      <c r="D13" s="54">
        <v>0.08</v>
      </c>
    </row>
    <row r="14" spans="1:4" ht="17.25" x14ac:dyDescent="0.3">
      <c r="A14" t="str">
        <f t="shared" si="0"/>
        <v>moderado-fofs</v>
      </c>
      <c r="B14" t="s">
        <v>32</v>
      </c>
      <c r="C14" s="3" t="s">
        <v>26</v>
      </c>
      <c r="D14" s="54">
        <v>0.05</v>
      </c>
    </row>
    <row r="15" spans="1:4" ht="17.25" x14ac:dyDescent="0.3">
      <c r="A15" t="str">
        <f t="shared" si="0"/>
        <v>moderado-desenvolvimento</v>
      </c>
      <c r="B15" t="s">
        <v>32</v>
      </c>
      <c r="C15" s="3" t="s">
        <v>27</v>
      </c>
      <c r="D15" s="54">
        <v>0.1</v>
      </c>
    </row>
    <row r="16" spans="1:4" ht="18" thickBot="1" x14ac:dyDescent="0.35">
      <c r="A16" s="58" t="str">
        <f t="shared" si="0"/>
        <v>moderado-hotelarias</v>
      </c>
      <c r="B16" s="58" t="s">
        <v>32</v>
      </c>
      <c r="C16" s="59" t="s">
        <v>28</v>
      </c>
      <c r="D16" s="54">
        <v>0.1</v>
      </c>
    </row>
    <row r="17" spans="1:4" ht="17.25" x14ac:dyDescent="0.3">
      <c r="A17" t="str">
        <f t="shared" si="0"/>
        <v>agressivo-papel</v>
      </c>
      <c r="B17" t="s">
        <v>18</v>
      </c>
      <c r="C17" s="3" t="s">
        <v>23</v>
      </c>
      <c r="D17" s="54">
        <v>0.5</v>
      </c>
    </row>
    <row r="18" spans="1:4" ht="17.25" x14ac:dyDescent="0.3">
      <c r="A18" t="str">
        <f t="shared" si="0"/>
        <v>agressivo-tijolo</v>
      </c>
      <c r="B18" t="s">
        <v>18</v>
      </c>
      <c r="C18" s="3" t="s">
        <v>24</v>
      </c>
      <c r="D18" s="54">
        <v>0.1</v>
      </c>
    </row>
    <row r="19" spans="1:4" ht="17.25" x14ac:dyDescent="0.3">
      <c r="A19" t="str">
        <f t="shared" si="0"/>
        <v>agressivo-hibridos</v>
      </c>
      <c r="B19" t="s">
        <v>18</v>
      </c>
      <c r="C19" s="3" t="s">
        <v>25</v>
      </c>
      <c r="D19" s="54">
        <v>0.05</v>
      </c>
    </row>
    <row r="20" spans="1:4" ht="17.25" x14ac:dyDescent="0.3">
      <c r="A20" t="str">
        <f t="shared" si="0"/>
        <v>agressivo-fofs</v>
      </c>
      <c r="B20" t="s">
        <v>18</v>
      </c>
      <c r="C20" s="3" t="s">
        <v>26</v>
      </c>
      <c r="D20" s="54">
        <v>0.05</v>
      </c>
    </row>
    <row r="21" spans="1:4" ht="17.25" x14ac:dyDescent="0.3">
      <c r="A21" t="str">
        <f t="shared" si="0"/>
        <v>agressivo-desenvolvimento</v>
      </c>
      <c r="B21" t="s">
        <v>18</v>
      </c>
      <c r="C21" s="3" t="s">
        <v>27</v>
      </c>
      <c r="D21" s="54">
        <v>0.2</v>
      </c>
    </row>
    <row r="22" spans="1:4" ht="17.25" x14ac:dyDescent="0.3">
      <c r="A22" t="str">
        <f t="shared" si="0"/>
        <v>agressivo-hotelarias</v>
      </c>
      <c r="B22" t="s">
        <v>18</v>
      </c>
      <c r="C22" s="3" t="s">
        <v>28</v>
      </c>
      <c r="D22" s="5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aporte</vt:lpstr>
      <vt:lpstr>patrimonio</vt:lpstr>
      <vt:lpstr>qtd_anos</vt:lpstr>
      <vt:lpstr>rendimento_carteira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Ryzen</dc:creator>
  <cp:lastModifiedBy>Rafael bulhões</cp:lastModifiedBy>
  <dcterms:created xsi:type="dcterms:W3CDTF">2026-01-21T18:29:35Z</dcterms:created>
  <dcterms:modified xsi:type="dcterms:W3CDTF">2026-01-21T23:11:07Z</dcterms:modified>
</cp:coreProperties>
</file>